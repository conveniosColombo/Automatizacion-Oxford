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Resumen" sheetId="1" state="visible" r:id="rId1"/>
    <sheet xmlns:r="http://schemas.openxmlformats.org/officeDocument/2006/relationships" name="Matriz As-Is vs To-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hrs"/>
    <numFmt numFmtId="165" formatCode="0.0%"/>
    <numFmt numFmtId="166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F4E78"/>
      <sz val="18"/>
    </font>
    <font>
      <name val="Calibri"/>
      <b val="1"/>
      <color rgb="001F4E78"/>
      <sz val="12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5911"/>
        <bgColor rgb="00C65911"/>
      </patternFill>
    </fill>
    <fill>
      <patternFill patternType="solid">
        <fgColor rgb="00375623"/>
        <bgColor rgb="00375623"/>
      </patternFill>
    </fill>
    <fill>
      <patternFill patternType="solid">
        <fgColor rgb="002F5597"/>
        <bgColor rgb="002F5597"/>
      </patternFill>
    </fill>
    <fill>
      <patternFill patternType="solid">
        <fgColor rgb="00E06666"/>
        <bgColor rgb="00E06666"/>
      </patternFill>
    </fill>
    <fill>
      <patternFill patternType="solid">
        <fgColor rgb="00548235"/>
        <bgColor rgb="00548235"/>
      </patternFill>
    </fill>
    <fill>
      <patternFill patternType="solid">
        <fgColor rgb="00F2F4F7"/>
        <bgColor rgb="00F2F4F7"/>
      </patternFill>
    </fill>
    <fill>
      <patternFill patternType="solid">
        <fgColor rgb="00EDF2F8"/>
        <bgColor rgb="00EDF2F8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9" borderId="1" applyAlignment="1" pivotButton="0" quotePrefix="0" xfId="0">
      <alignment horizontal="center" vertical="center"/>
    </xf>
    <xf numFmtId="0" fontId="0" fillId="0" borderId="1" pivotButton="0" quotePrefix="0" xfId="0"/>
    <xf numFmtId="3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3" fillId="8" borderId="1" applyAlignment="1" pivotButton="0" quotePrefix="0" xfId="0">
      <alignment horizontal="center"/>
    </xf>
    <xf numFmtId="0" fontId="0" fillId="8" borderId="1" pivotButton="0" quotePrefix="0" xfId="0"/>
    <xf numFmtId="166" fontId="3" fillId="8" borderId="1" pivotButton="0" quotePrefix="0" xfId="0"/>
    <xf numFmtId="165" fontId="3" fillId="8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166" fontId="2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165" fontId="3" fillId="0" borderId="1" applyAlignment="1" pivotButton="0" quotePrefix="0" xfId="0">
      <alignment horizontal="right" vertical="top"/>
    </xf>
    <xf numFmtId="0" fontId="2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left" vertical="top" wrapText="1"/>
    </xf>
    <xf numFmtId="166" fontId="2" fillId="8" borderId="1" applyAlignment="1" pivotButton="0" quotePrefix="0" xfId="0">
      <alignment horizontal="right" vertical="top"/>
    </xf>
    <xf numFmtId="3" fontId="2" fillId="8" borderId="1" applyAlignment="1" pivotButton="0" quotePrefix="0" xfId="0">
      <alignment horizontal="right" vertical="top"/>
    </xf>
    <xf numFmtId="165" fontId="3" fillId="8" borderId="1" applyAlignment="1" pivotButton="0" quotePrefix="0" xfId="0">
      <alignment horizontal="right" vertical="top"/>
    </xf>
    <xf numFmtId="0" fontId="0" fillId="0" borderId="8" pivotButton="0" quotePrefix="0" xfId="0"/>
    <xf numFmtId="0" fontId="0" fillId="0" borderId="4" pivotButton="0" quotePrefix="0" xfId="0"/>
    <xf numFmtId="164" fontId="7" fillId="9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6" fontId="2" fillId="0" borderId="1" applyAlignment="1" pivotButton="0" quotePrefix="0" xfId="0">
      <alignment horizontal="right"/>
    </xf>
    <xf numFmtId="166" fontId="3" fillId="8" borderId="1" pivotButton="0" quotePrefix="0" xfId="0"/>
    <xf numFmtId="166" fontId="2" fillId="0" borderId="1" applyAlignment="1" pivotButton="0" quotePrefix="0" xfId="0">
      <alignment horizontal="right" vertical="top"/>
    </xf>
    <xf numFmtId="166" fontId="2" fillId="8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5" customWidth="1" min="3" max="3"/>
    <col width="16" customWidth="1" min="4" max="4"/>
    <col width="14" customWidth="1" min="5" max="5"/>
    <col width="14" customWidth="1" min="6" max="6"/>
    <col width="20" customWidth="1" min="7" max="7"/>
    <col width="18" customWidth="1" min="8" max="8"/>
    <col width="18" customWidth="1" min="9" max="9"/>
    <col width="16" customWidth="1" min="10" max="10"/>
    <col width="12" customWidth="1" min="11" max="11"/>
    <col width="12" customWidth="1" min="12" max="12"/>
    <col width="4" customWidth="1" min="13" max="13"/>
    <col width="12" customWidth="1" min="14" max="14"/>
    <col width="12" customWidth="1" min="15" max="15"/>
  </cols>
  <sheetData>
    <row r="2">
      <c r="B2" s="1" t="inlineStr">
        <is>
          <t>PLAN DE TRABAJO Y DOCUMENTACIÓN DE BOTS (AS-IS vs. TO-BE)</t>
        </is>
      </c>
    </row>
    <row r="3">
      <c r="B3" s="2" t="inlineStr">
        <is>
          <t>Resumen Ejecutivo de Proyectos de Automatización y Medición de Impacto</t>
        </is>
      </c>
    </row>
    <row r="5">
      <c r="B5" s="3" t="inlineStr">
        <is>
          <t>TOTAL PROCESOS / ETAPAS</t>
        </is>
      </c>
      <c r="C5" s="34" t="n"/>
      <c r="E5" s="3" t="inlineStr">
        <is>
          <t>TIEMPO MANUAL ACTUAL (HORAS/MES)</t>
        </is>
      </c>
      <c r="F5" s="34" t="n"/>
      <c r="H5" s="3" t="inlineStr">
        <is>
          <t>TIEMPO FUTURO BOT (HORAS/MES)</t>
        </is>
      </c>
      <c r="I5" s="34" t="n"/>
      <c r="K5" s="3" t="inlineStr">
        <is>
          <t>AHORRO TOTAL ESTIMADO</t>
        </is>
      </c>
      <c r="L5" s="34" t="n"/>
      <c r="N5" s="3" t="inlineStr">
        <is>
          <t>% REDUCCIÓN DE TIEMPO GLOBAL</t>
        </is>
      </c>
      <c r="O5" s="34" t="n"/>
    </row>
    <row r="6">
      <c r="B6" s="5">
        <f>COUNTA('Matriz As-Is vs To-Be'!A3:A100)</f>
        <v/>
      </c>
      <c r="C6" s="35" t="n"/>
      <c r="E6" s="36">
        <f>SUM('Matriz As-Is vs To-Be'!I3:I100)</f>
        <v/>
      </c>
      <c r="F6" s="35" t="n"/>
      <c r="H6" s="36">
        <f>SUM('Matriz As-Is vs To-Be'!N3:N100)</f>
        <v/>
      </c>
      <c r="I6" s="35" t="n"/>
      <c r="K6" s="36">
        <f>SUM('Matriz As-Is vs To-Be'!O3:O100)</f>
        <v/>
      </c>
      <c r="L6" s="35" t="n"/>
      <c r="N6" s="7">
        <f>AVERAGE('Matriz As-Is vs To-Be'!P3:P100)</f>
        <v/>
      </c>
      <c r="O6" s="35" t="n"/>
    </row>
    <row r="7">
      <c r="B7" s="37" t="n"/>
      <c r="C7" s="38" t="n"/>
      <c r="E7" s="37" t="n"/>
      <c r="F7" s="38" t="n"/>
      <c r="H7" s="37" t="n"/>
      <c r="I7" s="38" t="n"/>
      <c r="K7" s="37" t="n"/>
      <c r="L7" s="38" t="n"/>
      <c r="N7" s="37" t="n"/>
      <c r="O7" s="38" t="n"/>
    </row>
    <row r="10">
      <c r="B10" s="8" t="inlineStr">
        <is>
          <t>RESUMEN DE PROYECTOS Y ESTADO DE AUTOMATIZACIÓN</t>
        </is>
      </c>
    </row>
    <row r="12" ht="25" customHeight="1">
      <c r="B12" s="9" t="inlineStr">
        <is>
          <t>ID Bot</t>
        </is>
      </c>
      <c r="C12" s="9" t="inlineStr">
        <is>
          <t>Nombre del Proyecto / Bot</t>
        </is>
      </c>
      <c r="D12" s="9" t="inlineStr">
        <is>
          <t>Fase Actual</t>
        </is>
      </c>
      <c r="E12" s="9" t="inlineStr">
        <is>
          <t>Fecha Inicio</t>
        </is>
      </c>
      <c r="F12" s="9" t="inlineStr">
        <is>
          <t>Fecha Fin</t>
        </is>
      </c>
      <c r="G12" s="9" t="inlineStr">
        <is>
          <t>Horas Actuales (As-Is)</t>
        </is>
      </c>
      <c r="H12" s="9" t="inlineStr">
        <is>
          <t>Horas Bot (To-Be)</t>
        </is>
      </c>
      <c r="I12" s="9" t="inlineStr">
        <is>
          <t>Ahorro Horas/Mes</t>
        </is>
      </c>
      <c r="J12" s="9" t="inlineStr">
        <is>
          <t>% Eficiencia</t>
        </is>
      </c>
    </row>
    <row r="13">
      <c r="B13" s="10" t="inlineStr">
        <is>
          <t>BOT-001</t>
        </is>
      </c>
      <c r="C13" s="11" t="inlineStr">
        <is>
          <t>Automatización de Conciliación e Ingesta de Facturas</t>
        </is>
      </c>
      <c r="D13" s="10">
        <f>VLOOKUP(B13, 'Matriz As-Is vs To-Be'!A3:C100, 3, FALSE)</f>
        <v/>
      </c>
      <c r="E13" s="10" t="inlineStr">
        <is>
          <t>2026-10-01</t>
        </is>
      </c>
      <c r="F13" s="10" t="inlineStr">
        <is>
          <t>2026-10-24</t>
        </is>
      </c>
      <c r="G13" s="39">
        <f>SUMIF('Matriz As-Is vs To-Be'!A3:A100, B13, 'Matriz As-Is vs To-Be'!I3:I100)</f>
        <v/>
      </c>
      <c r="H13" s="39">
        <f>SUMIF('Matriz As-Is vs To-Be'!A3:A100, B13, 'Matriz As-Is vs To-Be'!N3:N100)</f>
        <v/>
      </c>
      <c r="I13" s="39">
        <f>G13-H13</f>
        <v/>
      </c>
      <c r="J13" s="13">
        <f>I13/G13</f>
        <v/>
      </c>
    </row>
    <row r="14">
      <c r="B14" s="10" t="inlineStr">
        <is>
          <t>BOT-002</t>
        </is>
      </c>
      <c r="C14" s="11" t="inlineStr">
        <is>
          <t>Bot de Generación y Envío de Reportes Semanales</t>
        </is>
      </c>
      <c r="D14" s="10">
        <f>VLOOKUP(B14, 'Matriz As-Is vs To-Be'!A3:C100, 3, FALSE)</f>
        <v/>
      </c>
      <c r="E14" s="10" t="inlineStr">
        <is>
          <t>2026-09-15</t>
        </is>
      </c>
      <c r="F14" s="10" t="inlineStr">
        <is>
          <t>2026-10-10</t>
        </is>
      </c>
      <c r="G14" s="39">
        <f>SUMIF('Matriz As-Is vs To-Be'!A3:A100, B14, 'Matriz As-Is vs To-Be'!I3:I100)</f>
        <v/>
      </c>
      <c r="H14" s="39">
        <f>SUMIF('Matriz As-Is vs To-Be'!A3:A100, B14, 'Matriz As-Is vs To-Be'!N3:N100)</f>
        <v/>
      </c>
      <c r="I14" s="39">
        <f>G14-H14</f>
        <v/>
      </c>
      <c r="J14" s="13">
        <f>I14/G14</f>
        <v/>
      </c>
    </row>
    <row r="15">
      <c r="B15" s="10" t="inlineStr">
        <is>
          <t>BOT-003</t>
        </is>
      </c>
      <c r="C15" s="11" t="inlineStr">
        <is>
          <t>Automatización de Descarga de Informes Académicos - Q10</t>
        </is>
      </c>
      <c r="D15" s="10">
        <f>VLOOKUP(B15, 'Matriz As-Is vs To-Be'!A3:C100, 3, FALSE)</f>
        <v/>
      </c>
      <c r="E15" s="10" t="inlineStr">
        <is>
          <t>2026-09-16</t>
        </is>
      </c>
      <c r="F15" s="10" t="inlineStr">
        <is>
          <t>2026-10-17</t>
        </is>
      </c>
      <c r="G15" s="39">
        <f>SUMIF('Matriz As-Is vs To-Be'!A3:A100, B15, 'Matriz As-Is vs To-Be'!I3:I100)</f>
        <v/>
      </c>
      <c r="H15" s="39">
        <f>SUMIF('Matriz As-Is vs To-Be'!A3:A100, B15, 'Matriz As-Is vs To-Be'!N3:N100)</f>
        <v/>
      </c>
      <c r="I15" s="39">
        <f>G15-H15</f>
        <v/>
      </c>
      <c r="J15" s="13">
        <f>I15/G15</f>
        <v/>
      </c>
    </row>
    <row r="16">
      <c r="B16" s="10" t="inlineStr">
        <is>
          <t>BOT-004</t>
        </is>
      </c>
      <c r="C16" s="11" t="inlineStr">
        <is>
          <t>Automatización de Reportes de Progreso - Oxford English Hub</t>
        </is>
      </c>
      <c r="D16" s="10">
        <f>VLOOKUP(B16, 'Matriz As-Is vs To-Be'!A3:C100, 3, FALSE)</f>
        <v/>
      </c>
      <c r="E16" s="10" t="inlineStr">
        <is>
          <t>2026-09-16</t>
        </is>
      </c>
      <c r="F16" s="10" t="inlineStr">
        <is>
          <t>2026-10-17</t>
        </is>
      </c>
      <c r="G16" s="39">
        <f>SUMIF('Matriz As-Is vs To-Be'!A3:A100, B16, 'Matriz As-Is vs To-Be'!I3:I100)</f>
        <v/>
      </c>
      <c r="H16" s="39">
        <f>SUMIF('Matriz As-Is vs To-Be'!A3:A100, B16, 'Matriz As-Is vs To-Be'!N3:N100)</f>
        <v/>
      </c>
      <c r="I16" s="39">
        <f>G16-H16</f>
        <v/>
      </c>
      <c r="J16" s="13">
        <f>I16/G16</f>
        <v/>
      </c>
    </row>
    <row r="17">
      <c r="B17" s="10" t="inlineStr">
        <is>
          <t>BOT-005</t>
        </is>
      </c>
      <c r="C17" s="11" t="inlineStr">
        <is>
          <t>Automatización de Reportes de Progreso - Macmillan Education Everywhere</t>
        </is>
      </c>
      <c r="D17" s="10">
        <f>VLOOKUP(B17, 'Matriz As-Is vs To-Be'!A3:C100, 3, FALSE)</f>
        <v/>
      </c>
      <c r="E17" s="10" t="inlineStr">
        <is>
          <t>2026-09-16</t>
        </is>
      </c>
      <c r="F17" s="10" t="inlineStr">
        <is>
          <t>2026-10-17</t>
        </is>
      </c>
      <c r="G17" s="39">
        <f>SUMIF('Matriz As-Is vs To-Be'!A3:A100, B17, 'Matriz As-Is vs To-Be'!I3:I100)</f>
        <v/>
      </c>
      <c r="H17" s="39">
        <f>SUMIF('Matriz As-Is vs To-Be'!A3:A100, B17, 'Matriz As-Is vs To-Be'!N3:N100)</f>
        <v/>
      </c>
      <c r="I17" s="39">
        <f>G17-H17</f>
        <v/>
      </c>
      <c r="J17" s="13">
        <f>I17/G17</f>
        <v/>
      </c>
    </row>
    <row r="18">
      <c r="B18" s="14" t="inlineStr">
        <is>
          <t>TOTAL GENERAL</t>
        </is>
      </c>
      <c r="C18" s="15" t="n"/>
      <c r="D18" s="15" t="n"/>
      <c r="E18" s="15" t="n"/>
      <c r="F18" s="15" t="n"/>
      <c r="G18" s="40">
        <f>SUM(G13:G17)</f>
        <v/>
      </c>
      <c r="H18" s="40">
        <f>SUM(H13:H17)</f>
        <v/>
      </c>
      <c r="I18" s="40">
        <f>SUM(I13:I17)</f>
        <v/>
      </c>
      <c r="J18" s="17">
        <f>I18/G18</f>
        <v/>
      </c>
    </row>
  </sheetData>
  <mergeCells count="10">
    <mergeCell ref="E6:F7"/>
    <mergeCell ref="H6:I7"/>
    <mergeCell ref="B5:C5"/>
    <mergeCell ref="K6:L7"/>
    <mergeCell ref="N6:O7"/>
    <mergeCell ref="E5:F5"/>
    <mergeCell ref="K5:L5"/>
    <mergeCell ref="B6:C7"/>
    <mergeCell ref="H5:I5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3" customWidth="1" min="4" max="4"/>
    <col width="13" customWidth="1" min="5" max="5"/>
    <col width="28" customWidth="1" min="6" max="6"/>
    <col width="32" customWidth="1" min="7" max="7"/>
    <col width="20" customWidth="1" min="8" max="8"/>
    <col width="15" customWidth="1" min="9" max="9"/>
    <col width="28" customWidth="1" min="10" max="10"/>
    <col width="32" customWidth="1" min="11" max="11"/>
    <col width="22" customWidth="1" min="12" max="12"/>
    <col width="16" customWidth="1" min="13" max="13"/>
    <col width="15" customWidth="1" min="14" max="14"/>
    <col width="15" customWidth="1" min="15" max="15"/>
    <col width="14" customWidth="1" min="16" max="16"/>
    <col width="30" customWidth="1" min="17" max="17"/>
  </cols>
  <sheetData>
    <row r="1" ht="24" customHeight="1">
      <c r="A1" s="18" t="inlineStr">
        <is>
          <t>INFORMACIÓN GENERAL DEL PROYECTO</t>
        </is>
      </c>
      <c r="G1" s="19" t="inlineStr">
        <is>
          <t>ESTADO ACTUAL (AS-IS - MANUAL)</t>
        </is>
      </c>
      <c r="K1" s="20" t="inlineStr">
        <is>
          <t>ESTADO FUTURO (TO-BE - AUTOMATIZADO)</t>
        </is>
      </c>
    </row>
    <row r="2" ht="32" customHeight="1">
      <c r="A2" s="21" t="inlineStr">
        <is>
          <t>ID Bot</t>
        </is>
      </c>
      <c r="B2" s="21" t="inlineStr">
        <is>
          <t>Nombre del Proyecto / Bot</t>
        </is>
      </c>
      <c r="C2" s="21" t="inlineStr">
        <is>
          <t>Fase Actual</t>
        </is>
      </c>
      <c r="D2" s="21" t="inlineStr">
        <is>
          <t>Fecha Inicio</t>
        </is>
      </c>
      <c r="E2" s="21" t="inlineStr">
        <is>
          <t>Fecha Fin</t>
        </is>
      </c>
      <c r="F2" s="21" t="inlineStr">
        <is>
          <t>Etapa / Paso del Proceso</t>
        </is>
      </c>
      <c r="G2" s="22" t="inlineStr">
        <is>
          <t>Descripción Paso a Paso (Manual)</t>
        </is>
      </c>
      <c r="H2" s="22" t="inlineStr">
        <is>
          <t>Herramientas / Sistemas Usados</t>
        </is>
      </c>
      <c r="I2" s="22" t="inlineStr">
        <is>
          <t>Tiempo Dedicado (Horas/Mes)</t>
        </is>
      </c>
      <c r="J2" s="22" t="inlineStr">
        <is>
          <t>Puntos de Dolor / Riesgo de Error</t>
        </is>
      </c>
      <c r="K2" s="23" t="inlineStr">
        <is>
          <t>Lógica de Automatización / Función Bot</t>
        </is>
      </c>
      <c r="L2" s="23" t="inlineStr">
        <is>
          <t>Herramientas / Tecnología Bot</t>
        </is>
      </c>
      <c r="M2" s="23" t="inlineStr">
        <is>
          <t>Tiempo Estimado Post-Bot (Min/Mes)</t>
        </is>
      </c>
      <c r="N2" s="23" t="inlineStr">
        <is>
          <t>Tiempo Post-Bot (Horas/Mes)</t>
        </is>
      </c>
      <c r="O2" s="23" t="inlineStr">
        <is>
          <t>Ahorro Estimado (Horas/Mes)</t>
        </is>
      </c>
      <c r="P2" s="23" t="inlineStr">
        <is>
          <t>% Ahorro Tiempo</t>
        </is>
      </c>
      <c r="Q2" s="23" t="inlineStr">
        <is>
          <t>Beneficio u Objetivo Clave</t>
        </is>
      </c>
    </row>
    <row r="3">
      <c r="A3" s="24" t="inlineStr">
        <is>
          <t>BOT-001</t>
        </is>
      </c>
      <c r="B3" s="25" t="inlineStr">
        <is>
          <t>Automatización de Conciliación e Ingesta de Facturas</t>
        </is>
      </c>
      <c r="C3" s="24" t="inlineStr">
        <is>
          <t>Desarrollo</t>
        </is>
      </c>
      <c r="D3" s="24" t="inlineStr">
        <is>
          <t>2026-10-01</t>
        </is>
      </c>
      <c r="E3" s="24" t="inlineStr">
        <is>
          <t>2026-10-24</t>
        </is>
      </c>
      <c r="F3" s="25" t="inlineStr">
        <is>
          <t>1. Extracción y Descarga de Adjuntos</t>
        </is>
      </c>
      <c r="G3" s="25" t="inlineStr">
        <is>
          <t>El analista abre Outlook diariamente, busca correos de proveedores con asunto 'Factura', descarga adjuntos PDF/XML a carpeta local.</t>
        </is>
      </c>
      <c r="H3" s="25" t="inlineStr">
        <is>
          <t>Outlook, Explorador de Archivos</t>
        </is>
      </c>
      <c r="I3" s="41" t="n">
        <v>12</v>
      </c>
      <c r="J3" s="25" t="inlineStr">
        <is>
          <t>Correos no leídos por alto volumen, demoras en el flujo inicial, descarga de archivos duplicados.</t>
        </is>
      </c>
      <c r="K3" s="25" t="inlineStr">
        <is>
          <t>Webhook / Polling automático que detecta correos con facturas, valida estructura y guarda adjuntos en repositorio Cloud categorizado.</t>
        </is>
      </c>
      <c r="L3" s="25" t="inlineStr">
        <is>
          <t>Python, n8n, Google Drive API</t>
        </is>
      </c>
      <c r="M3" s="27" t="n">
        <v>5</v>
      </c>
      <c r="N3" s="41">
        <f>M3/60</f>
        <v/>
      </c>
      <c r="O3" s="41">
        <f>I3-N3</f>
        <v/>
      </c>
      <c r="P3" s="28">
        <f>(I3-N3)/I3</f>
        <v/>
      </c>
      <c r="Q3" s="25" t="inlineStr">
        <is>
          <t>Procesamiento continuo 24/7 sin intervención manual.</t>
        </is>
      </c>
    </row>
    <row r="4">
      <c r="A4" s="29" t="inlineStr">
        <is>
          <t>BOT-001</t>
        </is>
      </c>
      <c r="B4" s="30" t="inlineStr">
        <is>
          <t>Automatización de Conciliación e Ingesta de Facturas</t>
        </is>
      </c>
      <c r="C4" s="29" t="inlineStr">
        <is>
          <t>Desarrollo</t>
        </is>
      </c>
      <c r="D4" s="29" t="inlineStr">
        <is>
          <t>2026-10-01</t>
        </is>
      </c>
      <c r="E4" s="29" t="inlineStr">
        <is>
          <t>2026-10-24</t>
        </is>
      </c>
      <c r="F4" s="30" t="inlineStr">
        <is>
          <t>2. Lectura y Estructuración de Datos</t>
        </is>
      </c>
      <c r="G4" s="30" t="inlineStr">
        <is>
          <t>Transcripción manual de montos, NIT/RUT, fechas y número de factura desde PDF a plantilla de Excel.</t>
        </is>
      </c>
      <c r="H4" s="30" t="inlineStr">
        <is>
          <t>PDF Reader, Excel</t>
        </is>
      </c>
      <c r="I4" s="42" t="n">
        <v>28</v>
      </c>
      <c r="J4" s="30" t="inlineStr">
        <is>
          <t>Alto riesgo de error de digitación en valores y dígitos de verificación; fatiga visual.</t>
        </is>
      </c>
      <c r="K4" s="30" t="inlineStr">
        <is>
          <t>Extracción de datos mediante OCR / Parseo XML, validación de consistencia matemática y estructura de impuestos.</t>
        </is>
      </c>
      <c r="L4" s="30" t="inlineStr">
        <is>
          <t>Python (pdfplumber / OpenAI API)</t>
        </is>
      </c>
      <c r="M4" s="32" t="n">
        <v>10</v>
      </c>
      <c r="N4" s="42">
        <f>M4/60</f>
        <v/>
      </c>
      <c r="O4" s="42">
        <f>I4-N4</f>
        <v/>
      </c>
      <c r="P4" s="33">
        <f>(I4-N4)/I4</f>
        <v/>
      </c>
      <c r="Q4" s="30" t="inlineStr">
        <is>
          <t>Cero errores de digitación y estandarización inmediata.</t>
        </is>
      </c>
    </row>
    <row r="5">
      <c r="A5" s="24" t="inlineStr">
        <is>
          <t>BOT-001</t>
        </is>
      </c>
      <c r="B5" s="25" t="inlineStr">
        <is>
          <t>Automatización de Conciliación e Ingesta de Facturas</t>
        </is>
      </c>
      <c r="C5" s="24" t="inlineStr">
        <is>
          <t>Desarrollo</t>
        </is>
      </c>
      <c r="D5" s="24" t="inlineStr">
        <is>
          <t>2026-10-01</t>
        </is>
      </c>
      <c r="E5" s="24" t="inlineStr">
        <is>
          <t>2026-10-24</t>
        </is>
      </c>
      <c r="F5" s="25" t="inlineStr">
        <is>
          <t>3. Carga en ERP / Base de Datos</t>
        </is>
      </c>
      <c r="G5" s="25" t="inlineStr">
        <is>
          <t>Importación manual de archivo Excel consolidado al ERP y envío de correo de confirmación al área contable.</t>
        </is>
      </c>
      <c r="H5" s="25" t="inlineStr">
        <is>
          <t>ERP Contable, Excel, Gmail</t>
        </is>
      </c>
      <c r="I5" s="41" t="n">
        <v>10</v>
      </c>
      <c r="J5" s="25" t="inlineStr">
        <is>
          <t>Cuello de botella a fin de mes; retraso en pagos a proveedores por aprobaciones tardías.</t>
        </is>
      </c>
      <c r="K5" s="25" t="inlineStr">
        <is>
          <t>Script de integración que inserta datos directamente en la BD/ERP vía API y notifica resumen en Slack/Gmail.</t>
        </is>
      </c>
      <c r="L5" s="25" t="inlineStr">
        <is>
          <t>Python (SQLAlchemy), Google Apps Script</t>
        </is>
      </c>
      <c r="M5" s="27" t="n">
        <v>5</v>
      </c>
      <c r="N5" s="41">
        <f>M5/60</f>
        <v/>
      </c>
      <c r="O5" s="41">
        <f>I5-N5</f>
        <v/>
      </c>
      <c r="P5" s="28">
        <f>(I5-N5)/I5</f>
        <v/>
      </c>
      <c r="Q5" s="25" t="inlineStr">
        <is>
          <t>Reducción del ciclo total de conciliación en más del 95%.</t>
        </is>
      </c>
    </row>
    <row r="6">
      <c r="A6" s="29" t="inlineStr">
        <is>
          <t>BOT-002</t>
        </is>
      </c>
      <c r="B6" s="30" t="inlineStr">
        <is>
          <t>Bot de Generación y Envío de Reportes Semanales</t>
        </is>
      </c>
      <c r="C6" s="29" t="inlineStr">
        <is>
          <t>Pruebas/QA</t>
        </is>
      </c>
      <c r="D6" s="29" t="inlineStr">
        <is>
          <t>2026-09-15</t>
        </is>
      </c>
      <c r="E6" s="29" t="inlineStr">
        <is>
          <t>2026-10-10</t>
        </is>
      </c>
      <c r="F6" s="30" t="inlineStr">
        <is>
          <t>1. Consolidación de Fuentes de Datos</t>
        </is>
      </c>
      <c r="G6" s="30" t="inlineStr">
        <is>
          <t>Descarga manual de reportes CSV de 3 plataformas distintas y consolidación en una sola hoja.</t>
        </is>
      </c>
      <c r="H6" s="30" t="inlineStr">
        <is>
          <t>Excel, Portales Web</t>
        </is>
      </c>
      <c r="I6" s="42" t="n">
        <v>15</v>
      </c>
      <c r="J6" s="30" t="inlineStr">
        <is>
          <t>Formatos desalineados, pérdida de tiempo en limpieza recurrente de datos.</t>
        </is>
      </c>
      <c r="K6" s="30" t="inlineStr">
        <is>
          <t>Script de Scraping / API que consolida automáticamente las 3 fuentes en un modelo de datos unificado.</t>
        </is>
      </c>
      <c r="L6" s="30" t="inlineStr">
        <is>
          <t>Python (Pandas), Playwright</t>
        </is>
      </c>
      <c r="M6" s="32" t="n">
        <v>10</v>
      </c>
      <c r="N6" s="42">
        <f>M6/60</f>
        <v/>
      </c>
      <c r="O6" s="42">
        <f>I6-N6</f>
        <v/>
      </c>
      <c r="P6" s="33">
        <f>(I6-N6)/I6</f>
        <v/>
      </c>
      <c r="Q6" s="30" t="inlineStr">
        <is>
          <t>Consolidación automática y sin discrepancias.</t>
        </is>
      </c>
    </row>
    <row r="7">
      <c r="A7" s="24" t="inlineStr">
        <is>
          <t>BOT-002</t>
        </is>
      </c>
      <c r="B7" s="25" t="inlineStr">
        <is>
          <t>Bot de Generación y Envío de Reportes Semanales</t>
        </is>
      </c>
      <c r="C7" s="24" t="inlineStr">
        <is>
          <t>Pruebas/QA</t>
        </is>
      </c>
      <c r="D7" s="24" t="inlineStr">
        <is>
          <t>2026-09-15</t>
        </is>
      </c>
      <c r="E7" s="24" t="inlineStr">
        <is>
          <t>2026-10-10</t>
        </is>
      </c>
      <c r="F7" s="25" t="inlineStr">
        <is>
          <t>2. Distribución de Indicadores por Correo</t>
        </is>
      </c>
      <c r="G7" s="25" t="inlineStr">
        <is>
          <t>Filtro por cada líder de área, generación de PDF individual y redacción de correos manuales.</t>
        </is>
      </c>
      <c r="H7" s="25" t="inlineStr">
        <is>
          <t>Excel, Outlook</t>
        </is>
      </c>
      <c r="I7" s="41" t="n">
        <v>8</v>
      </c>
      <c r="J7" s="25" t="inlineStr">
        <is>
          <t>Riesgo de enviar información confidencial al destinatario incorrecto.</t>
        </is>
      </c>
      <c r="K7" s="25" t="inlineStr">
        <is>
          <t>Bot envía reportes personalizados automáticamente según matriz de distribución y roles.</t>
        </is>
      </c>
      <c r="L7" s="25" t="inlineStr">
        <is>
          <t>Power Automate, Python</t>
        </is>
      </c>
      <c r="M7" s="27" t="n">
        <v>5</v>
      </c>
      <c r="N7" s="41">
        <f>M7/60</f>
        <v/>
      </c>
      <c r="O7" s="41">
        <f>I7-N7</f>
        <v/>
      </c>
      <c r="P7" s="28">
        <f>(I7-N7)/I7</f>
        <v/>
      </c>
      <c r="Q7" s="25" t="inlineStr">
        <is>
          <t>Distribución segura y personalizada en segundos.</t>
        </is>
      </c>
    </row>
    <row r="8">
      <c r="A8" s="24" t="inlineStr">
        <is>
          <t>BOT-003</t>
        </is>
      </c>
      <c r="B8" s="25" t="inlineStr">
        <is>
          <t>Automatización de Descarga de Informes Académicos - Q10</t>
        </is>
      </c>
      <c r="C8" s="24" t="inlineStr">
        <is>
          <t>Desarrollo</t>
        </is>
      </c>
      <c r="D8" s="24" t="inlineStr">
        <is>
          <t>2026-09-16</t>
        </is>
      </c>
      <c r="E8" s="24" t="inlineStr">
        <is>
          <t>2026-10-17</t>
        </is>
      </c>
      <c r="F8" s="25" t="inlineStr">
        <is>
          <t>1. Inicio de Sesión y Acceso al Módulo de Informes</t>
        </is>
      </c>
      <c r="G8" s="25" t="inlineStr">
        <is>
          <t>El analista abre Q10, ingresa usuario y contraseña, resuelve la verificación de seguridad (captcha) cuando aparece, selecciona el rol de acceso y navega manualmente hasta el módulo de Informes.</t>
        </is>
      </c>
      <c r="H8" s="25" t="inlineStr">
        <is>
          <t>Q10 (navegador web)</t>
        </is>
      </c>
      <c r="I8" s="41" t="n">
        <v>3</v>
      </c>
      <c r="J8" s="25" t="inlineStr">
        <is>
          <t>Verificación de seguridad (captcha) interrumpe el flujo; seleccionar el rol incorrecto obliga a reiniciar sesión; tiempo perdido en la navegación repetitiva al módulo.</t>
        </is>
      </c>
      <c r="K8" s="25" t="inlineStr">
        <is>
          <t>El bot abre Q10, ingresa credenciales, pausa automáticamente solo si aparece el captcha (para resolución humana puntual), selecciona el rol configurado y navega directo al módulo de Informes.</t>
        </is>
      </c>
      <c r="L8" s="25" t="inlineStr">
        <is>
          <t>Python, Playwright</t>
        </is>
      </c>
      <c r="M8" s="27" t="n">
        <v>5</v>
      </c>
      <c r="N8" s="41">
        <f>M8/60</f>
        <v/>
      </c>
      <c r="O8" s="41">
        <f>I8-N8</f>
        <v/>
      </c>
      <c r="P8" s="28">
        <f>(I8-N8)/I8</f>
        <v/>
      </c>
      <c r="Q8" s="25" t="inlineStr">
        <is>
          <t>Acceso estandarizado y sin errores de navegación; intervención humana solo cuando es estrictamente necesaria (captcha).</t>
        </is>
      </c>
    </row>
    <row r="9">
      <c r="A9" s="29" t="inlineStr">
        <is>
          <t>BOT-003</t>
        </is>
      </c>
      <c r="B9" s="30" t="inlineStr">
        <is>
          <t>Automatización de Descarga de Informes Académicos - Q10</t>
        </is>
      </c>
      <c r="C9" s="29" t="inlineStr">
        <is>
          <t>Desarrollo</t>
        </is>
      </c>
      <c r="D9" s="29" t="inlineStr">
        <is>
          <t>2026-09-16</t>
        </is>
      </c>
      <c r="E9" s="29" t="inlineStr">
        <is>
          <t>2026-10-17</t>
        </is>
      </c>
      <c r="F9" s="30" t="inlineStr">
        <is>
          <t>2. Configuración y Llenado de Filtros por Informe</t>
        </is>
      </c>
      <c r="G9" s="30" t="inlineStr">
        <is>
          <t>Para cada informe (Sede, Programa, Periodo, Curso, etc.), el analista abre el informe, llena manualmente los filtros en cascada —que dependen unos de otros— y repite el proceso para cada combinación de valores cuando se requieren varias sedes o programas.</t>
        </is>
      </c>
      <c r="H9" s="30" t="inlineStr">
        <is>
          <t>Q10, Excel (control de lo ya exportado)</t>
        </is>
      </c>
      <c r="I9" s="42" t="n">
        <v>15</v>
      </c>
      <c r="J9" s="30" t="inlineStr">
        <is>
          <t>Filtros en cascada que tardan en cargar; alto riesgo de omitir o repetir una combinación; proceso muy repetitivo con múltiples sedes/programas/periodos.</t>
        </is>
      </c>
      <c r="K9" s="30" t="inlineStr">
        <is>
          <t>El bot llena los filtros en el orden configurado, detecta automáticamente cuando un filtro pide 'Todos' y genera un reporte por cada valor disponible, validando que cada opción exista antes de continuar.</t>
        </is>
      </c>
      <c r="L9" s="30" t="inlineStr">
        <is>
          <t>Python, Playwright</t>
        </is>
      </c>
      <c r="M9" s="32" t="n">
        <v>15</v>
      </c>
      <c r="N9" s="42">
        <f>M9/60</f>
        <v/>
      </c>
      <c r="O9" s="42">
        <f>I9-N9</f>
        <v/>
      </c>
      <c r="P9" s="33">
        <f>(I9-N9)/I9</f>
        <v/>
      </c>
      <c r="Q9" s="30" t="inlineStr">
        <is>
          <t>Cobertura completa y consistente de todas las combinaciones de filtros, sin intervención manual.</t>
        </is>
      </c>
    </row>
    <row r="10">
      <c r="A10" s="24" t="inlineStr">
        <is>
          <t>BOT-003</t>
        </is>
      </c>
      <c r="B10" s="25" t="inlineStr">
        <is>
          <t>Automatización de Descarga de Informes Académicos - Q10</t>
        </is>
      </c>
      <c r="C10" s="24" t="inlineStr">
        <is>
          <t>Desarrollo</t>
        </is>
      </c>
      <c r="D10" s="24" t="inlineStr">
        <is>
          <t>2026-09-16</t>
        </is>
      </c>
      <c r="E10" s="24" t="inlineStr">
        <is>
          <t>2026-10-17</t>
        </is>
      </c>
      <c r="F10" s="25" t="inlineStr">
        <is>
          <t>3. Exportación, Descarga y Organización de Archivos</t>
        </is>
      </c>
      <c r="G10" s="25" t="inlineStr">
        <is>
          <t>El analista da clic en Exportar para cada informe/combinación, espera la descarga, y organiza y renombra manualmente los archivos en carpetas por informe y fecha.</t>
        </is>
      </c>
      <c r="H10" s="25" t="inlineStr">
        <is>
          <t>Q10, Explorador de Archivos</t>
        </is>
      </c>
      <c r="I10" s="41" t="n">
        <v>6</v>
      </c>
      <c r="J10" s="25" t="inlineStr">
        <is>
          <t>Riesgo de sobrescribir archivos con nombres iguales; falta de trazabilidad de qué se descargó y cuándo; tiempo invertido en organizar manualmente las carpetas.</t>
        </is>
      </c>
      <c r="K10" s="25" t="inlineStr">
        <is>
          <t>El bot descarga cada archivo y lo guarda automáticamente en una carpeta por sistema, con fecha y hora en el nombre para evitar sobrescrituras, dejando trazabilidad completa.</t>
        </is>
      </c>
      <c r="L10" s="25" t="inlineStr">
        <is>
          <t>Python, Playwright</t>
        </is>
      </c>
      <c r="M10" s="27" t="n">
        <v>10</v>
      </c>
      <c r="N10" s="41">
        <f>M10/60</f>
        <v/>
      </c>
      <c r="O10" s="41">
        <f>I10-N10</f>
        <v/>
      </c>
      <c r="P10" s="28">
        <f>(I10-N10)/I10</f>
        <v/>
      </c>
      <c r="Q10" s="25" t="inlineStr">
        <is>
          <t>Archivos organizados y trazables automáticamente, sin riesgo de pérdida o sobrescritura.</t>
        </is>
      </c>
    </row>
    <row r="11">
      <c r="A11" s="29" t="inlineStr">
        <is>
          <t>BOT-004</t>
        </is>
      </c>
      <c r="B11" s="30" t="inlineStr">
        <is>
          <t>Automatización de Reportes de Progreso - Oxford English Hub</t>
        </is>
      </c>
      <c r="C11" s="29" t="inlineStr">
        <is>
          <t>Desarrollo</t>
        </is>
      </c>
      <c r="D11" s="29" t="inlineStr">
        <is>
          <t>2026-09-16</t>
        </is>
      </c>
      <c r="E11" s="29" t="inlineStr">
        <is>
          <t>2026-10-17</t>
        </is>
      </c>
      <c r="F11" s="30" t="inlineStr">
        <is>
          <t>1. Inicio de Sesión y Navegación a la Organización/Curso</t>
        </is>
      </c>
      <c r="G11" s="30" t="inlineStr">
        <is>
          <t>El analista inicia sesión en Oxford English Hub, abre el menú de la cuenta, busca la organización en la ventana de convenios ('+ X more'), la selecciona por ID y navega hasta 'My Organization' &gt; 'Classes'.</t>
        </is>
      </c>
      <c r="H11" s="30" t="inlineStr">
        <is>
          <t>Oxford English Hub (navegador web)</t>
        </is>
      </c>
      <c r="I11" s="42" t="n">
        <v>2</v>
      </c>
      <c r="J11" s="30" t="inlineStr">
        <is>
          <t>Navegación por varios menús anidados; riesgo de seleccionar la organización o el ID incorrecto entre convenios con nombres parecidos.</t>
        </is>
      </c>
      <c r="K11" s="30" t="inlineStr">
        <is>
          <t>El bot inicia sesión, abre el menú de cuenta, busca la organización por el ID exacto configurado y navega directo hasta la lista de clases.</t>
        </is>
      </c>
      <c r="L11" s="30" t="inlineStr">
        <is>
          <t>Python, Playwright</t>
        </is>
      </c>
      <c r="M11" s="32" t="n">
        <v>5</v>
      </c>
      <c r="N11" s="42">
        <f>M11/60</f>
        <v/>
      </c>
      <c r="O11" s="42">
        <f>I11-N11</f>
        <v/>
      </c>
      <c r="P11" s="33">
        <f>(I11-N11)/I11</f>
        <v/>
      </c>
      <c r="Q11" s="30" t="inlineStr">
        <is>
          <t>Acceso directo y sin errores de selección al curso/organización correcta.</t>
        </is>
      </c>
    </row>
    <row r="12">
      <c r="A12" s="29" t="inlineStr">
        <is>
          <t>BOT-004</t>
        </is>
      </c>
      <c r="B12" s="30" t="inlineStr">
        <is>
          <t>Automatización de Reportes de Progreso - Oxford English Hub</t>
        </is>
      </c>
      <c r="C12" s="29" t="inlineStr">
        <is>
          <t>Desarrollo</t>
        </is>
      </c>
      <c r="D12" s="29" t="inlineStr">
        <is>
          <t>2026-09-16</t>
        </is>
      </c>
      <c r="E12" s="29" t="inlineStr">
        <is>
          <t>2026-10-17</t>
        </is>
      </c>
      <c r="F12" s="30" t="inlineStr">
        <is>
          <t>2. Configuración de Progress Settings por Clase</t>
        </is>
      </c>
      <c r="G12" s="30" t="inlineStr">
        <is>
          <t>Para cada clase, el analista la abre, entra a Progress, selecciona el curso con porcentaje de avance, abre la ventana 'Progress settings' y configura manualmente Scores, 'Show figures as' y 'Show scores for' para estandarizar el reporte.</t>
        </is>
      </c>
      <c r="H12" s="30" t="inlineStr">
        <is>
          <t>Oxford English Hub</t>
        </is>
      </c>
      <c r="I12" s="42" t="n">
        <v>12</v>
      </c>
      <c r="J12" s="30" t="inlineStr">
        <is>
          <t>Proceso muy repetitivo cuando hay muchas clases; alto riesgo de dejar configuraciones inconsistentes entre clases, lo que afecta la comparabilidad de los reportes.</t>
        </is>
      </c>
      <c r="K12" s="30" t="inlineStr">
        <is>
          <t>El bot abre cada clase configurada, identifica el curso con avance y aplica siempre los mismos parámetros de Progress settings definidos en la configuración, garantizando reportes comparables entre clases.</t>
        </is>
      </c>
      <c r="L12" s="30" t="inlineStr">
        <is>
          <t>Python, Playwright</t>
        </is>
      </c>
      <c r="M12" s="32" t="n">
        <v>15</v>
      </c>
      <c r="N12" s="42">
        <f>M12/60</f>
        <v/>
      </c>
      <c r="O12" s="42">
        <f>I12-N12</f>
        <v/>
      </c>
      <c r="P12" s="33">
        <f>(I12-N12)/I12</f>
        <v/>
      </c>
      <c r="Q12" s="30" t="inlineStr">
        <is>
          <t>Estandarización total de los reportes entre todas las clases, sin variaciones por error humano.</t>
        </is>
      </c>
    </row>
    <row r="13">
      <c r="A13" s="29" t="inlineStr">
        <is>
          <t>BOT-004</t>
        </is>
      </c>
      <c r="B13" s="30" t="inlineStr">
        <is>
          <t>Automatización de Reportes de Progreso - Oxford English Hub</t>
        </is>
      </c>
      <c r="C13" s="29" t="inlineStr">
        <is>
          <t>Desarrollo</t>
        </is>
      </c>
      <c r="D13" s="29" t="inlineStr">
        <is>
          <t>2026-09-16</t>
        </is>
      </c>
      <c r="E13" s="29" t="inlineStr">
        <is>
          <t>2026-10-17</t>
        </is>
      </c>
      <c r="F13" s="30" t="inlineStr">
        <is>
          <t>3. Descarga del Reporte CSV por Clase</t>
        </is>
      </c>
      <c r="G13" s="30" t="inlineStr">
        <is>
          <t>El analista da clic en 'Download CSV' en cada clase, espera la descarga y organiza manualmente los archivos por clase.</t>
        </is>
      </c>
      <c r="H13" s="30" t="inlineStr">
        <is>
          <t>Oxford English Hub, Explorador de Archivos</t>
        </is>
      </c>
      <c r="I13" s="42" t="n">
        <v>4</v>
      </c>
      <c r="J13" s="30" t="inlineStr">
        <is>
          <t>Tiempo invertido en repetir la descarga clase por clase; riesgo de omitir alguna clase cuando hay muchas.</t>
        </is>
      </c>
      <c r="K13" s="30" t="inlineStr">
        <is>
          <t>El bot descarga el CSV de cada clase automáticamente y lo guarda organizado por sistema y clase, con fecha y hora en el nombre.</t>
        </is>
      </c>
      <c r="L13" s="30" t="inlineStr">
        <is>
          <t>Python, Playwright</t>
        </is>
      </c>
      <c r="M13" s="32" t="n">
        <v>5</v>
      </c>
      <c r="N13" s="42">
        <f>M13/60</f>
        <v/>
      </c>
      <c r="O13" s="42">
        <f>I13-N13</f>
        <v/>
      </c>
      <c r="P13" s="33">
        <f>(I13-N13)/I13</f>
        <v/>
      </c>
      <c r="Q13" s="30" t="inlineStr">
        <is>
          <t>Descarga completa y ordenada de todas las clases, sin omisiones.</t>
        </is>
      </c>
    </row>
    <row r="14">
      <c r="A14" s="24" t="inlineStr">
        <is>
          <t>BOT-005</t>
        </is>
      </c>
      <c r="B14" s="25" t="inlineStr">
        <is>
          <t>Automatización de Reportes de Progreso - Macmillan Education Everywhere</t>
        </is>
      </c>
      <c r="C14" s="24" t="inlineStr">
        <is>
          <t>Desarrollo</t>
        </is>
      </c>
      <c r="D14" s="24" t="inlineStr">
        <is>
          <t>2026-09-16</t>
        </is>
      </c>
      <c r="E14" s="24" t="inlineStr">
        <is>
          <t>2026-10-17</t>
        </is>
      </c>
      <c r="F14" s="25" t="inlineStr">
        <is>
          <t>1. Inicio de Sesión y Navegación al Libro/Nivel/Recurso</t>
        </is>
      </c>
      <c r="G14" s="25" t="inlineStr">
        <is>
          <t>El analista inicia sesión en Macmillan Education Everywhere, abre cada libro en 'Mi Estantería', selecciona el nivel (pestaña) correspondiente, entra al recurso 'Macmillan Education Everywhere App' y da clic en 'View' para abrir el contenido en el navegador, cerrando los avisos de cookies y de sesión que aparecen en el camino.</t>
        </is>
      </c>
      <c r="H14" s="25" t="inlineStr">
        <is>
          <t>Macmillan Education Everywhere (navegador web)</t>
        </is>
      </c>
      <c r="I14" s="41" t="n">
        <v>4</v>
      </c>
      <c r="J14" s="25" t="inlineStr">
        <is>
          <t>Navegación profunda a través de varias pantallas y hasta dos dominios distintos; avisos de cookies y de sesión ('Keep me logged in') interrumpen el flujo en cada libro.</t>
        </is>
      </c>
      <c r="K14" s="25" t="inlineStr">
        <is>
          <t>El bot inicia sesión, abre cada libro y nivel configurado, entra al recurso y cierra automáticamente los avisos de cookies y de sesión que aparecen en el camino.</t>
        </is>
      </c>
      <c r="L14" s="25" t="inlineStr">
        <is>
          <t>Python, Playwright</t>
        </is>
      </c>
      <c r="M14" s="27" t="n">
        <v>8</v>
      </c>
      <c r="N14" s="41">
        <f>M14/60</f>
        <v/>
      </c>
      <c r="O14" s="41">
        <f>I14-N14</f>
        <v/>
      </c>
      <c r="P14" s="28">
        <f>(I14-N14)/I14</f>
        <v/>
      </c>
      <c r="Q14" s="25" t="inlineStr">
        <is>
          <t>Navegación completa y sin interrupciones a través de todos los libros y niveles configurados.</t>
        </is>
      </c>
    </row>
    <row r="15">
      <c r="A15" s="29" t="inlineStr">
        <is>
          <t>BOT-005</t>
        </is>
      </c>
      <c r="B15" s="30" t="inlineStr">
        <is>
          <t>Automatización de Reportes de Progreso - Macmillan Education Everywhere</t>
        </is>
      </c>
      <c r="C15" s="29" t="inlineStr">
        <is>
          <t>Desarrollo</t>
        </is>
      </c>
      <c r="D15" s="29" t="inlineStr">
        <is>
          <t>2026-09-16</t>
        </is>
      </c>
      <c r="E15" s="29" t="inlineStr">
        <is>
          <t>2026-10-17</t>
        </is>
      </c>
      <c r="F15" s="30" t="inlineStr">
        <is>
          <t>2. Configuración del Filtro de Curso y Recorrido de Páginas de Clases</t>
        </is>
      </c>
      <c r="G15" s="30" t="inlineStr">
        <is>
          <t>El analista abre 'School work' &gt; 'Progress', escribe el curso en el buscador, aplica el filtro con 'Go' y recorre manualmente cada página del listado de clases (el paginador puede mostrar varias páginas), llevando cuenta de cuáles clases ya se revisaron.</t>
        </is>
      </c>
      <c r="H15" s="30" t="inlineStr">
        <is>
          <t>Macmillan Education Everywhere, Excel (control manual de clases revisadas)</t>
        </is>
      </c>
      <c r="I15" s="42" t="n">
        <v>6</v>
      </c>
      <c r="J15" s="30" t="inlineStr">
        <is>
          <t>Es fácil perder la cuenta de qué clases ya se revisaron al cambiar de página; el filtro y la tabla tardan varios segundos en recargar cada vez.</t>
        </is>
      </c>
      <c r="K15" s="30" t="inlineStr">
        <is>
          <t>El bot aplica el filtro del curso, calcula automáticamente cuántas páginas hay a partir del paginador y las recorre todas, identificando qué clases corresponden a las pedidas en la configuración.</t>
        </is>
      </c>
      <c r="L15" s="30" t="inlineStr">
        <is>
          <t>Python, Playwright</t>
        </is>
      </c>
      <c r="M15" s="32" t="n">
        <v>10</v>
      </c>
      <c r="N15" s="42">
        <f>M15/60</f>
        <v/>
      </c>
      <c r="O15" s="42">
        <f>I15-N15</f>
        <v/>
      </c>
      <c r="P15" s="33">
        <f>(I15-N15)/I15</f>
        <v/>
      </c>
      <c r="Q15" s="30" t="inlineStr">
        <is>
          <t>Cobertura garantizada de todas las páginas y clases, sin omisiones por pérdida de conteo manual.</t>
        </is>
      </c>
    </row>
    <row r="16">
      <c r="A16" s="24" t="inlineStr">
        <is>
          <t>BOT-005</t>
        </is>
      </c>
      <c r="B16" s="25" t="inlineStr">
        <is>
          <t>Automatización de Reportes de Progreso - Macmillan Education Everywhere</t>
        </is>
      </c>
      <c r="C16" s="24" t="inlineStr">
        <is>
          <t>Desarrollo</t>
        </is>
      </c>
      <c r="D16" s="24" t="inlineStr">
        <is>
          <t>2026-09-16</t>
        </is>
      </c>
      <c r="E16" s="24" t="inlineStr">
        <is>
          <t>2026-10-17</t>
        </is>
      </c>
      <c r="F16" s="25" t="inlineStr">
        <is>
          <t>3. Exportación del Reporte CSV por Clase</t>
        </is>
      </c>
      <c r="G16" s="25" t="inlineStr">
        <is>
          <t>Por cada clase (que pueden ser decenas repartidas en varias páginas), el analista abre el detalle, da clic en 'Export', espera la descarga y vuelve al listado para continuar con la siguiente.</t>
        </is>
      </c>
      <c r="H16" s="25" t="inlineStr">
        <is>
          <t>Macmillan Education Everywhere, Explorador de Archivos</t>
        </is>
      </c>
      <c r="I16" s="41" t="n">
        <v>20</v>
      </c>
      <c r="J16" s="25" t="inlineStr">
        <is>
          <t>Es el paso más repetitivo de los tres sistemas: alto consumo de tiempo cuando hay muchas clases; riesgo de omitir clases o exportar duplicados; retroceder entre páginas para ubicar la siguiente clase es lento.</t>
        </is>
      </c>
      <c r="K16" s="25" t="inlineStr">
        <is>
          <t>El bot recorre automáticamente cada clase en cada página, exporta el CSV, lo guarda organizado por curso y clase, y al final reporta si alguna clase configurada no se encontró en ninguna página.</t>
        </is>
      </c>
      <c r="L16" s="25" t="inlineStr">
        <is>
          <t>Python, Playwright</t>
        </is>
      </c>
      <c r="M16" s="27" t="n">
        <v>20</v>
      </c>
      <c r="N16" s="41">
        <f>M16/60</f>
        <v/>
      </c>
      <c r="O16" s="41">
        <f>I16-N16</f>
        <v/>
      </c>
      <c r="P16" s="28">
        <f>(I16-N16)/I16</f>
        <v/>
      </c>
      <c r="Q16" s="25" t="inlineStr">
        <is>
          <t>Exportación completa, trazable y sin omisiones, incluso con decenas de clases repartidas en varias páginas.</t>
        </is>
      </c>
    </row>
  </sheetData>
  <mergeCells count="3">
    <mergeCell ref="A1:F1"/>
    <mergeCell ref="G1:J1"/>
    <mergeCell ref="K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2026-09-16T19:37:35Z</dcterms:created>
  <dcterms:modified xmlns:dcterms="http://purl.org/dc/terms/" xmlns:xsi="http://www.w3.org/2001/XMLSchema-instance" xsi:type="dcterms:W3CDTF">2026-09-16T20:18:34Z</dcterms:modified>
</cp:coreProperties>
</file>